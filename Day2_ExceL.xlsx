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ba2d5afdcd6c0f/Desktop/HYDERABAD_ANALYST/DAY 2/"/>
    </mc:Choice>
  </mc:AlternateContent>
  <xr:revisionPtr revIDLastSave="77" documentId="11_E1617FF7483B4DF98D0A7E85A6D976D7E54186E6" xr6:coauthVersionLast="47" xr6:coauthVersionMax="47" xr10:uidLastSave="{5563F31F-C331-4FF6-A157-B0AD871AEEFC}"/>
  <bookViews>
    <workbookView xWindow="-108" yWindow="-108" windowWidth="23256" windowHeight="12456" xr2:uid="{00000000-000D-0000-FFFF-FFFF00000000}"/>
  </bookViews>
  <sheets>
    <sheet name="Employee_Data" sheetId="1" r:id="rId1"/>
    <sheet name="Product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H6" i="1"/>
  <c r="H7" i="1"/>
  <c r="H8" i="1"/>
  <c r="H9" i="1"/>
  <c r="H10" i="1"/>
  <c r="H11" i="1"/>
  <c r="H12" i="1"/>
  <c r="H13" i="1"/>
  <c r="H14" i="1"/>
  <c r="H5" i="1"/>
  <c r="C18" i="2"/>
  <c r="E19" i="1"/>
  <c r="E18" i="1"/>
  <c r="G6" i="1"/>
  <c r="G7" i="1"/>
  <c r="G8" i="1"/>
  <c r="G9" i="1"/>
  <c r="G10" i="1"/>
  <c r="G11" i="1"/>
  <c r="G12" i="1"/>
  <c r="G13" i="1"/>
  <c r="G14" i="1"/>
  <c r="G5" i="1"/>
</calcChain>
</file>

<file path=xl/sharedStrings.xml><?xml version="1.0" encoding="utf-8"?>
<sst xmlns="http://schemas.openxmlformats.org/spreadsheetml/2006/main" count="94" uniqueCount="74">
  <si>
    <t>DAY 2 - VLOOKUP &amp; IF FUNCTION PRACTICE</t>
  </si>
  <si>
    <t>Employee Database</t>
  </si>
  <si>
    <t>Emp_ID</t>
  </si>
  <si>
    <t>Name</t>
  </si>
  <si>
    <t>Department</t>
  </si>
  <si>
    <t>Salary</t>
  </si>
  <si>
    <t>Join_Date</t>
  </si>
  <si>
    <t>Performance</t>
  </si>
  <si>
    <t>E001</t>
  </si>
  <si>
    <t>Rahul Sharma</t>
  </si>
  <si>
    <t>Sales</t>
  </si>
  <si>
    <t>2022-03-15</t>
  </si>
  <si>
    <t>Excellent</t>
  </si>
  <si>
    <t>E002</t>
  </si>
  <si>
    <t>Priya Patel</t>
  </si>
  <si>
    <t>IT</t>
  </si>
  <si>
    <t>2021-06-20</t>
  </si>
  <si>
    <t>Good</t>
  </si>
  <si>
    <t>E003</t>
  </si>
  <si>
    <t>Amit Kumar</t>
  </si>
  <si>
    <t>HR</t>
  </si>
  <si>
    <t>2023-01-10</t>
  </si>
  <si>
    <t>Average</t>
  </si>
  <si>
    <t>E004</t>
  </si>
  <si>
    <t>Sneha Reddy</t>
  </si>
  <si>
    <t>Finance</t>
  </si>
  <si>
    <t>2020-11-05</t>
  </si>
  <si>
    <t>E005</t>
  </si>
  <si>
    <t>Vikram Singh</t>
  </si>
  <si>
    <t>2022-08-22</t>
  </si>
  <si>
    <t>E006</t>
  </si>
  <si>
    <t>Ananya Gupta</t>
  </si>
  <si>
    <t>2021-04-18</t>
  </si>
  <si>
    <t>E007</t>
  </si>
  <si>
    <t>Rohit Verma</t>
  </si>
  <si>
    <t>Marketing</t>
  </si>
  <si>
    <t>2023-02-28</t>
  </si>
  <si>
    <t>E008</t>
  </si>
  <si>
    <t>Kavitha Nair</t>
  </si>
  <si>
    <t>2020-09-12</t>
  </si>
  <si>
    <t>E009</t>
  </si>
  <si>
    <t>Deepak Joshi</t>
  </si>
  <si>
    <t>2023-05-08</t>
  </si>
  <si>
    <t>E010</t>
  </si>
  <si>
    <t>Meera Iyer</t>
  </si>
  <si>
    <t>2019-12-01</t>
  </si>
  <si>
    <t>Product Database (for XLOOKUP Practice)</t>
  </si>
  <si>
    <t>Product_ID</t>
  </si>
  <si>
    <t>Product_Name</t>
  </si>
  <si>
    <t>Category</t>
  </si>
  <si>
    <t>Price</t>
  </si>
  <si>
    <t>Stock</t>
  </si>
  <si>
    <t>P101</t>
  </si>
  <si>
    <t>Laptop Pro</t>
  </si>
  <si>
    <t>Electronics</t>
  </si>
  <si>
    <t>P102</t>
  </si>
  <si>
    <t>Wireless Mouse</t>
  </si>
  <si>
    <t>P103</t>
  </si>
  <si>
    <t>Office Chair</t>
  </si>
  <si>
    <t>Furniture</t>
  </si>
  <si>
    <t>P104</t>
  </si>
  <si>
    <t>Monitor 27"</t>
  </si>
  <si>
    <t>P105</t>
  </si>
  <si>
    <t>Standing Desk</t>
  </si>
  <si>
    <t>P106</t>
  </si>
  <si>
    <t>Keyboard RGB</t>
  </si>
  <si>
    <t>P107</t>
  </si>
  <si>
    <t>File Cabinet</t>
  </si>
  <si>
    <t>P108</t>
  </si>
  <si>
    <t>Webcam HD</t>
  </si>
  <si>
    <t>Bonus</t>
  </si>
  <si>
    <t>Performance_Bonus</t>
  </si>
  <si>
    <t xml:space="preserve">IT 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</si>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</sst>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2"/>
      <name val="Calibri"/>
    </font>
    <font>
      <b/>
      <sz val="11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3" fillId="2" borderId="2" xfId="0" applyFont="1" applyFill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B20" sqref="B20"/>
    </sheetView>
  </sheetViews>
  <sheetFormatPr defaultRowHeight="14.4" x14ac:dyDescent="0.3"/>
  <cols>
    <col min="1" max="1" width="8" customWidth="1"/>
    <col min="2" max="2" width="15" customWidth="1"/>
    <col min="3" max="3" width="12" customWidth="1"/>
    <col min="4" max="4" width="10" customWidth="1"/>
    <col min="5" max="6" width="12" customWidth="1"/>
    <col min="8" max="8" width="17.77734375" bestFit="1" customWidth="1"/>
  </cols>
  <sheetData>
    <row r="1" spans="1:8" ht="17.399999999999999" x14ac:dyDescent="0.3">
      <c r="A1" s="6" t="s">
        <v>0</v>
      </c>
      <c r="B1" s="7"/>
      <c r="C1" s="7"/>
      <c r="D1" s="7"/>
      <c r="E1" s="7"/>
      <c r="F1" s="7"/>
    </row>
    <row r="3" spans="1:8" ht="15.6" x14ac:dyDescent="0.3">
      <c r="A3" s="2" t="s">
        <v>1</v>
      </c>
    </row>
    <row r="4" spans="1:8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5" t="s">
        <v>70</v>
      </c>
      <c r="H4" t="s">
        <v>71</v>
      </c>
    </row>
    <row r="5" spans="1:8" x14ac:dyDescent="0.3">
      <c r="A5" s="4" t="s">
        <v>8</v>
      </c>
      <c r="B5" s="4" t="s">
        <v>9</v>
      </c>
      <c r="C5" s="4" t="s">
        <v>10</v>
      </c>
      <c r="D5" s="4">
        <v>45000</v>
      </c>
      <c r="E5" s="4" t="s">
        <v>11</v>
      </c>
      <c r="F5" s="4" t="s">
        <v>12</v>
      </c>
      <c r="G5">
        <f>IF(D5&gt;50000,D5*10%,D5*5%)</f>
        <v>2250</v>
      </c>
      <c r="H5">
        <f>IF(F5="Excellent",D5*15%,IF(F5="Good",D5*10%,D5*5%))</f>
        <v>6750</v>
      </c>
    </row>
    <row r="6" spans="1:8" x14ac:dyDescent="0.3">
      <c r="A6" s="4" t="s">
        <v>13</v>
      </c>
      <c r="B6" s="4" t="s">
        <v>14</v>
      </c>
      <c r="C6" s="4" t="s">
        <v>15</v>
      </c>
      <c r="D6" s="4">
        <v>55000</v>
      </c>
      <c r="E6" s="4" t="s">
        <v>16</v>
      </c>
      <c r="F6" s="4" t="s">
        <v>17</v>
      </c>
      <c r="G6">
        <f t="shared" ref="G6:G14" si="0">IF(D6&gt;50000,D6*10%,D6*5%)</f>
        <v>5500</v>
      </c>
      <c r="H6">
        <f t="shared" ref="H6:H14" si="1">IF(F6="Excellent",D6*15%,IF(F6="Good",D6*10%,D6*5%))</f>
        <v>5500</v>
      </c>
    </row>
    <row r="7" spans="1:8" x14ac:dyDescent="0.3">
      <c r="A7" s="4" t="s">
        <v>18</v>
      </c>
      <c r="B7" s="4" t="s">
        <v>19</v>
      </c>
      <c r="C7" s="4" t="s">
        <v>20</v>
      </c>
      <c r="D7" s="4">
        <v>40000</v>
      </c>
      <c r="E7" s="4" t="s">
        <v>21</v>
      </c>
      <c r="F7" s="4" t="s">
        <v>22</v>
      </c>
      <c r="G7">
        <f t="shared" si="0"/>
        <v>2000</v>
      </c>
      <c r="H7">
        <f t="shared" si="1"/>
        <v>2000</v>
      </c>
    </row>
    <row r="8" spans="1:8" x14ac:dyDescent="0.3">
      <c r="A8" s="4" t="s">
        <v>23</v>
      </c>
      <c r="B8" s="4" t="s">
        <v>24</v>
      </c>
      <c r="C8" s="4" t="s">
        <v>25</v>
      </c>
      <c r="D8" s="4">
        <v>60000</v>
      </c>
      <c r="E8" s="4" t="s">
        <v>26</v>
      </c>
      <c r="F8" s="4" t="s">
        <v>12</v>
      </c>
      <c r="G8">
        <f t="shared" si="0"/>
        <v>6000</v>
      </c>
      <c r="H8">
        <f t="shared" si="1"/>
        <v>9000</v>
      </c>
    </row>
    <row r="9" spans="1:8" x14ac:dyDescent="0.3">
      <c r="A9" s="4" t="s">
        <v>27</v>
      </c>
      <c r="B9" s="4" t="s">
        <v>28</v>
      </c>
      <c r="C9" s="4" t="s">
        <v>10</v>
      </c>
      <c r="D9" s="4">
        <v>48000</v>
      </c>
      <c r="E9" s="4" t="s">
        <v>29</v>
      </c>
      <c r="F9" s="4" t="s">
        <v>17</v>
      </c>
      <c r="G9">
        <f t="shared" si="0"/>
        <v>2400</v>
      </c>
      <c r="H9">
        <f t="shared" si="1"/>
        <v>4800</v>
      </c>
    </row>
    <row r="10" spans="1:8" x14ac:dyDescent="0.3">
      <c r="A10" s="4" t="s">
        <v>30</v>
      </c>
      <c r="B10" s="4" t="s">
        <v>31</v>
      </c>
      <c r="C10" s="4" t="s">
        <v>15</v>
      </c>
      <c r="D10" s="4">
        <v>62000</v>
      </c>
      <c r="E10" s="4" t="s">
        <v>32</v>
      </c>
      <c r="F10" s="4" t="s">
        <v>12</v>
      </c>
      <c r="G10">
        <f t="shared" si="0"/>
        <v>6200</v>
      </c>
      <c r="H10">
        <f t="shared" si="1"/>
        <v>9300</v>
      </c>
    </row>
    <row r="11" spans="1:8" x14ac:dyDescent="0.3">
      <c r="A11" s="4" t="s">
        <v>33</v>
      </c>
      <c r="B11" s="4" t="s">
        <v>34</v>
      </c>
      <c r="C11" s="4" t="s">
        <v>35</v>
      </c>
      <c r="D11" s="4">
        <v>42000</v>
      </c>
      <c r="E11" s="4" t="s">
        <v>36</v>
      </c>
      <c r="F11" s="4" t="s">
        <v>22</v>
      </c>
      <c r="G11">
        <f t="shared" si="0"/>
        <v>2100</v>
      </c>
      <c r="H11">
        <f t="shared" si="1"/>
        <v>2100</v>
      </c>
    </row>
    <row r="12" spans="1:8" x14ac:dyDescent="0.3">
      <c r="A12" s="4" t="s">
        <v>37</v>
      </c>
      <c r="B12" s="4" t="s">
        <v>38</v>
      </c>
      <c r="C12" s="4" t="s">
        <v>25</v>
      </c>
      <c r="D12" s="4">
        <v>58000</v>
      </c>
      <c r="E12" s="4" t="s">
        <v>39</v>
      </c>
      <c r="F12" s="4" t="s">
        <v>17</v>
      </c>
      <c r="G12">
        <f t="shared" si="0"/>
        <v>5800</v>
      </c>
      <c r="H12">
        <f t="shared" si="1"/>
        <v>5800</v>
      </c>
    </row>
    <row r="13" spans="1:8" x14ac:dyDescent="0.3">
      <c r="A13" s="4" t="s">
        <v>40</v>
      </c>
      <c r="B13" s="4" t="s">
        <v>41</v>
      </c>
      <c r="C13" s="4" t="s">
        <v>20</v>
      </c>
      <c r="D13" s="4">
        <v>38000</v>
      </c>
      <c r="E13" s="4" t="s">
        <v>42</v>
      </c>
      <c r="F13" s="4" t="s">
        <v>17</v>
      </c>
      <c r="G13">
        <f t="shared" si="0"/>
        <v>1900</v>
      </c>
      <c r="H13">
        <f t="shared" si="1"/>
        <v>3800</v>
      </c>
    </row>
    <row r="14" spans="1:8" x14ac:dyDescent="0.3">
      <c r="A14" s="4" t="s">
        <v>43</v>
      </c>
      <c r="B14" s="4" t="s">
        <v>44</v>
      </c>
      <c r="C14" s="4" t="s">
        <v>15</v>
      </c>
      <c r="D14" s="4">
        <v>65000</v>
      </c>
      <c r="E14" s="4" t="s">
        <v>45</v>
      </c>
      <c r="F14" s="4" t="s">
        <v>12</v>
      </c>
      <c r="G14">
        <f t="shared" si="0"/>
        <v>6500</v>
      </c>
      <c r="H14">
        <f t="shared" si="1"/>
        <v>9750</v>
      </c>
    </row>
    <row r="18" spans="1:5" x14ac:dyDescent="0.3">
      <c r="D18" t="s">
        <v>72</v>
      </c>
      <c r="E18">
        <f>SUMIF(C5:C14,C6,D5:D14)</f>
        <v>182000</v>
      </c>
    </row>
    <row r="19" spans="1:5" x14ac:dyDescent="0.3">
      <c r="A19" t="s">
        <v>18</v>
      </c>
      <c r="B19" t="str">
        <f>VLOOKUP(A19,A5:H14,2,FALSE)</f>
        <v>Amit Kumar</v>
      </c>
      <c r="D19" t="s">
        <v>73</v>
      </c>
      <c r="E19">
        <f>COUNTIF(Employee_Data!C5:C14,Employee_Data!C5)</f>
        <v>2</v>
      </c>
    </row>
  </sheetData>
  <mergeCells count="1">
    <mergeCell ref="A1:F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B18" sqref="B18"/>
    </sheetView>
  </sheetViews>
  <sheetFormatPr defaultRowHeight="14.4" x14ac:dyDescent="0.3"/>
  <cols>
    <col min="1" max="1" width="10" customWidth="1"/>
    <col min="2" max="2" width="18" customWidth="1"/>
    <col min="3" max="3" width="12" customWidth="1"/>
    <col min="4" max="4" width="10" customWidth="1"/>
    <col min="5" max="5" width="8" customWidth="1"/>
  </cols>
  <sheetData>
    <row r="1" spans="1:5" ht="17.399999999999999" x14ac:dyDescent="0.3">
      <c r="A1" s="1" t="s">
        <v>46</v>
      </c>
    </row>
    <row r="3" spans="1:5" x14ac:dyDescent="0.3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</row>
    <row r="4" spans="1:5" x14ac:dyDescent="0.3">
      <c r="A4" s="4" t="s">
        <v>52</v>
      </c>
      <c r="B4" s="4" t="s">
        <v>53</v>
      </c>
      <c r="C4" s="4" t="s">
        <v>54</v>
      </c>
      <c r="D4" s="4">
        <v>75000</v>
      </c>
      <c r="E4" s="4">
        <v>25</v>
      </c>
    </row>
    <row r="5" spans="1:5" x14ac:dyDescent="0.3">
      <c r="A5" s="4" t="s">
        <v>55</v>
      </c>
      <c r="B5" s="4" t="s">
        <v>56</v>
      </c>
      <c r="C5" s="4" t="s">
        <v>54</v>
      </c>
      <c r="D5" s="4">
        <v>1500</v>
      </c>
      <c r="E5" s="4">
        <v>100</v>
      </c>
    </row>
    <row r="6" spans="1:5" x14ac:dyDescent="0.3">
      <c r="A6" s="4" t="s">
        <v>57</v>
      </c>
      <c r="B6" s="4" t="s">
        <v>58</v>
      </c>
      <c r="C6" s="4" t="s">
        <v>59</v>
      </c>
      <c r="D6" s="4">
        <v>8500</v>
      </c>
      <c r="E6" s="4">
        <v>30</v>
      </c>
    </row>
    <row r="7" spans="1:5" x14ac:dyDescent="0.3">
      <c r="A7" s="4" t="s">
        <v>60</v>
      </c>
      <c r="B7" s="4" t="s">
        <v>61</v>
      </c>
      <c r="C7" s="4" t="s">
        <v>54</v>
      </c>
      <c r="D7" s="4">
        <v>22000</v>
      </c>
      <c r="E7" s="4">
        <v>40</v>
      </c>
    </row>
    <row r="8" spans="1:5" x14ac:dyDescent="0.3">
      <c r="A8" s="4" t="s">
        <v>62</v>
      </c>
      <c r="B8" s="4" t="s">
        <v>63</v>
      </c>
      <c r="C8" s="4" t="s">
        <v>59</v>
      </c>
      <c r="D8" s="4">
        <v>25000</v>
      </c>
      <c r="E8" s="4">
        <v>15</v>
      </c>
    </row>
    <row r="9" spans="1:5" x14ac:dyDescent="0.3">
      <c r="A9" s="4" t="s">
        <v>64</v>
      </c>
      <c r="B9" s="4" t="s">
        <v>65</v>
      </c>
      <c r="C9" s="4" t="s">
        <v>54</v>
      </c>
      <c r="D9" s="4">
        <v>3500</v>
      </c>
      <c r="E9" s="4">
        <v>60</v>
      </c>
    </row>
    <row r="10" spans="1:5" x14ac:dyDescent="0.3">
      <c r="A10" s="4" t="s">
        <v>66</v>
      </c>
      <c r="B10" s="4" t="s">
        <v>67</v>
      </c>
      <c r="C10" s="4" t="s">
        <v>59</v>
      </c>
      <c r="D10" s="4">
        <v>12000</v>
      </c>
      <c r="E10" s="4">
        <v>20</v>
      </c>
    </row>
    <row r="11" spans="1:5" x14ac:dyDescent="0.3">
      <c r="A11" s="4" t="s">
        <v>68</v>
      </c>
      <c r="B11" s="4" t="s">
        <v>69</v>
      </c>
      <c r="C11" s="4" t="s">
        <v>54</v>
      </c>
      <c r="D11" s="4">
        <v>4500</v>
      </c>
      <c r="E11" s="4">
        <v>45</v>
      </c>
    </row>
    <row r="18" spans="2:3" x14ac:dyDescent="0.3">
      <c r="B18" t="s">
        <v>62</v>
      </c>
      <c r="C18">
        <f>_xlfn.XLOOKUP(B18,A3:A11,D3:D11,)</f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Product_Data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mangalivenkatesh26@outlook.com</cp:lastModifiedBy>
  <dcterms:created xsi:type="dcterms:W3CDTF">2026-02-18T11:06:47Z</dcterms:created>
  <dcterms:modified xsi:type="dcterms:W3CDTF">2026-02-18T14:19:20Z</dcterms:modified>
</cp:coreProperties>
</file>